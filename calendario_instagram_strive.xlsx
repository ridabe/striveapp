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endário Instagra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<sst xmlns="http://schemas.openxmlformats.org/spreadsheetml/2006/main" count="208" uniqueCount="107">
  <si>
    <t xml:space="preserve">Calendário de Conteúdo Instagram — @strivepersonalapp (4 semanas)</t>
  </si>
  <si>
    <t xml:space="preserve">Data de início (editável):</t>
  </si>
  <si>
    <t xml:space="preserve">Dia #</t>
  </si>
  <si>
    <t xml:space="preserve">Data</t>
  </si>
  <si>
    <t xml:space="preserve">Dia da Semana</t>
  </si>
  <si>
    <t xml:space="preserve">Semana</t>
  </si>
  <si>
    <t xml:space="preserve">Pilar de Conteúdo</t>
  </si>
  <si>
    <t xml:space="preserve">Formato Feed</t>
  </si>
  <si>
    <t xml:space="preserve">Ideia/Legenda Feed</t>
  </si>
  <si>
    <t xml:space="preserve">Ideia Stories</t>
  </si>
  <si>
    <t xml:space="preserve">CTA</t>
  </si>
  <si>
    <t xml:space="preserve">Hashtags sugeridas</t>
  </si>
  <si>
    <t xml:space="preserve">Semana 1</t>
  </si>
  <si>
    <t xml:space="preserve">Motivação</t>
  </si>
  <si>
    <t xml:space="preserve">Post estático</t>
  </si>
  <si>
    <t xml:space="preserve">Comece a semana com o pé direito 💪 Toda evolução começa com o primeiro treino marcado.</t>
  </si>
  <si>
    <t xml:space="preserve">Enquete: Qual seu objetivo essa semana? 🔥📈🏋️</t>
  </si>
  <si>
    <t xml:space="preserve">Marque um amigo treino parceiro</t>
  </si>
  <si>
    <t xml:space="preserve">#personaltrainer #strivepersonal #gestaodealunos #appdetreino #fitnessbusiness</t>
  </si>
  <si>
    <t xml:space="preserve">Feature do app</t>
  </si>
  <si>
    <t xml:space="preserve">Carrossel</t>
  </si>
  <si>
    <t xml:space="preserve">Seu aluno não falta. A streak de treinos mantém ele motivado a não quebrar a sequência 🔥</t>
  </si>
  <si>
    <t xml:space="preserve">Bastidor: tela de streak no app</t>
  </si>
  <si>
    <t xml:space="preserve">Baixe o app e ative pros seus alunos — link na bio</t>
  </si>
  <si>
    <t xml:space="preserve">Dica de gestão</t>
  </si>
  <si>
    <t xml:space="preserve">3 sinais de que sua planilha de Excel está te fazendo perder alunos.</t>
  </si>
  <si>
    <t xml:space="preserve">Caixinha de perguntas: Qual sua maior dor na gestão de alunos?</t>
  </si>
  <si>
    <t xml:space="preserve">Comenta aqui embaixo 👇</t>
  </si>
  <si>
    <t xml:space="preserve">Prova social</t>
  </si>
  <si>
    <t xml:space="preserve">Reels</t>
  </si>
  <si>
    <t xml:space="preserve">Depoimento: personal trainer conta como organizou a rotina de alunos com o app.</t>
  </si>
  <si>
    <t xml:space="preserve">Repost do depoimento em destaque</t>
  </si>
  <si>
    <t xml:space="preserve">Quer aparecer aqui? Manda seu print</t>
  </si>
  <si>
    <t xml:space="preserve">Bastidores</t>
  </si>
  <si>
    <t xml:space="preserve">Por trás do Strive Personal: quem constrói o app pra facilitar sua rotina.</t>
  </si>
  <si>
    <t xml:space="preserve">Dia a dia da equipe</t>
  </si>
  <si>
    <t xml:space="preserve">Segue pra acompanhar os bastidores</t>
  </si>
  <si>
    <t xml:space="preserve">Educacional</t>
  </si>
  <si>
    <t xml:space="preserve">Como o timer de descanso automático evita que seu aluno erre o tempo entre séries.</t>
  </si>
  <si>
    <t xml:space="preserve">Demo rápida do timer em uso</t>
  </si>
  <si>
    <t xml:space="preserve">Salva esse post pra consultar depois</t>
  </si>
  <si>
    <t xml:space="preserve">Engajamento</t>
  </si>
  <si>
    <t xml:space="preserve">Personal ou aluno, você é? 🙋</t>
  </si>
  <si>
    <t xml:space="preserve">Enquete com as duas opções</t>
  </si>
  <si>
    <t xml:space="preserve">Responde nos comentários</t>
  </si>
  <si>
    <t xml:space="preserve">Semana 2</t>
  </si>
  <si>
    <t xml:space="preserve">Semana 2: constância é o que separa resultado de frustração.</t>
  </si>
  <si>
    <t xml:space="preserve">Contagem regressiva pro fim de semana de treino</t>
  </si>
  <si>
    <t xml:space="preserve">Compartilha esse post no seu story</t>
  </si>
  <si>
    <t xml:space="preserve">Antes e depois direto no app — seu aluno registra peso e fotos sem sair de casa.</t>
  </si>
  <si>
    <t xml:space="preserve">Print da tela de progresso (borrado)</t>
  </si>
  <si>
    <t xml:space="preserve">Baixe o app — link na bio</t>
  </si>
  <si>
    <t xml:space="preserve">Como cobrar mensalidade sem constranger o aluno: financeiro automatizado no app.</t>
  </si>
  <si>
    <t xml:space="preserve">Enquete: você já perdeu dinheiro por esquecer de cobrar?</t>
  </si>
  <si>
    <t xml:space="preserve">Comenta 'EU' se já passou por isso</t>
  </si>
  <si>
    <t xml:space="preserve">+500 treinos executados essa semana pelos nossos alunos. Números que mostram consistência.</t>
  </si>
  <si>
    <t xml:space="preserve">Contador animado</t>
  </si>
  <si>
    <t xml:space="preserve">Faça parte dessa comunidade</t>
  </si>
  <si>
    <t xml:space="preserve">Bastidor de desenvolvimento: a próxima feature já está a caminho.</t>
  </si>
  <si>
    <t xml:space="preserve">Enquete: qual feature vocês querem ver primeiro?</t>
  </si>
  <si>
    <t xml:space="preserve">Vota no story</t>
  </si>
  <si>
    <t xml:space="preserve">Por que toda avaliação de novo aluno deveria começar pela anamnese.</t>
  </si>
  <si>
    <t xml:space="preserve">Dica rápida em áudio/texto</t>
  </si>
  <si>
    <t xml:space="preserve">Salva pra usar com seus alunos</t>
  </si>
  <si>
    <t xml:space="preserve">Qual exercício você AMA odiar? 😅</t>
  </si>
  <si>
    <t xml:space="preserve">Caixinha de respostas</t>
  </si>
  <si>
    <t xml:space="preserve">Semana 3</t>
  </si>
  <si>
    <t xml:space="preserve">Metade do mês, metade da jornada. Como está sua consistência?</t>
  </si>
  <si>
    <t xml:space="preserve">Enquete: nota de 0 a 10 pra sua semana</t>
  </si>
  <si>
    <t xml:space="preserve">Compartilha sua nota no story</t>
  </si>
  <si>
    <t xml:space="preserve">Seu app, sua marca: personalize cor e logo pros seus alunos (white-label).</t>
  </si>
  <si>
    <t xml:space="preserve">Antes/depois com cor personalizada</t>
  </si>
  <si>
    <t xml:space="preserve">Fala com a gente pra personalizar o seu</t>
  </si>
  <si>
    <t xml:space="preserve">Como reduzir a taxa de desistência de alunos usando o feedback pós-treino.</t>
  </si>
  <si>
    <t xml:space="preserve">Enquete: você pede feedback dos seus alunos?</t>
  </si>
  <si>
    <t xml:space="preserve">Comenta sua estratégia</t>
  </si>
  <si>
    <t xml:space="preserve">Depoimento de aluno: 'Nunca mantive uma rotina de treino até usar o app do meu personal'.</t>
  </si>
  <si>
    <t xml:space="preserve">Repost do depoimento</t>
  </si>
  <si>
    <t xml:space="preserve">Marca seu personal aqui</t>
  </si>
  <si>
    <t xml:space="preserve">Um dia normal de um personal trainer que usa o Strive Personal.</t>
  </si>
  <si>
    <t xml:space="preserve">Stories em sequência (POV)</t>
  </si>
  <si>
    <t xml:space="preserve">Segue pra ver mais rotinas reais</t>
  </si>
  <si>
    <t xml:space="preserve">Como acompanhar % de gordura e medidas sem depender de planilha.</t>
  </si>
  <si>
    <t xml:space="preserve">Demo da tela de avaliação física</t>
  </si>
  <si>
    <t xml:space="preserve">Salva esse post</t>
  </si>
  <si>
    <t xml:space="preserve">Treino de manhã ou à noite? ☀️🌙</t>
  </si>
  <si>
    <t xml:space="preserve">Semana 4</t>
  </si>
  <si>
    <t xml:space="preserve">Reta final do mês: hora de fechar com chave de ouro.</t>
  </si>
  <si>
    <t xml:space="preserve">Contagem regressiva pro fim do mês</t>
  </si>
  <si>
    <t xml:space="preserve">Compartilha essa motivação</t>
  </si>
  <si>
    <t xml:space="preserve">Chega de perguntar 'você treinou hoje?' O check-in é automático pela frequência.</t>
  </si>
  <si>
    <t xml:space="preserve">Print do calendário de frequência</t>
  </si>
  <si>
    <t xml:space="preserve">3 métricas que todo personal deveria acompanhar no negócio.</t>
  </si>
  <si>
    <t xml:space="preserve">Enquete: você acompanha essas métricas?</t>
  </si>
  <si>
    <t xml:space="preserve">Comenta qual você já usa</t>
  </si>
  <si>
    <t xml:space="preserve">Case de sucesso: personal trainer dobrou a carteira de alunos em 3 meses.</t>
  </si>
  <si>
    <t xml:space="preserve">Bastidor da gravação do depoimento</t>
  </si>
  <si>
    <t xml:space="preserve">Quer ser o próximo case? Chama a gente</t>
  </si>
  <si>
    <t xml:space="preserve">Convite: conheça o app de perto em uma demo gratuita.</t>
  </si>
  <si>
    <t xml:space="preserve">Link direto pra agendar demo</t>
  </si>
  <si>
    <t xml:space="preserve">Agenda sua demo — link na bio</t>
  </si>
  <si>
    <t xml:space="preserve">Ajuste de carga em tempo real, direto na tela de execução de treino.</t>
  </si>
  <si>
    <t xml:space="preserve">Demo da tela de execução</t>
  </si>
  <si>
    <t xml:space="preserve">Salva esse post pra consultar</t>
  </si>
  <si>
    <t xml:space="preserve">Marca aqui o personal que precisa conhecer o Strive Personal 👇</t>
  </si>
  <si>
    <t xml:space="preserve">Repost das marcações</t>
  </si>
  <si>
    <t xml:space="preserve">Marca 2 amigos personal trainers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</si>
</sst>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E0E1A"/>
      <name val="Arial"/>
      <family val="0"/>
      <charset val="1"/>
    </font>
    <font>
      <sz val="10"/>
      <color rgb="FF0E0E1A"/>
      <name val="Arial"/>
      <family val="0"/>
      <charset val="1"/>
    </font>
    <font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E0E1A"/>
        <bgColor rgb="FF1A1A2E"/>
      </patternFill>
    </fill>
    <fill>
      <patternFill patternType="solid">
        <fgColor rgb="FFE8FF47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1A1A2E"/>
        <bgColor rgb="FF0E0E1A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E8FF47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E0E1A"/>
      <rgbColor rgb="FF333300"/>
      <rgbColor rgb="FF993300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7" min="7" style="0" width="42"/>
    <col collapsed="false" customWidth="true" hidden="false" outlineLevel="0" max="8" min="8" style="0" width="30"/>
    <col collapsed="false" customWidth="true" hidden="false" outlineLevel="0" max="9" min="9" style="0" width="26"/>
    <col collapsed="false" customWidth="true" hidden="false" outlineLevel="0" max="10" min="10" style="0" width="4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customFormat="false" ht="15" hidden="false" customHeight="false" outlineLevel="0" collapsed="false">
      <c r="A3" s="2" t="s">
        <v>1</v>
      </c>
      <c r="B3" s="2"/>
    </row>
    <row r="5" customFormat="false" ht="30" hidden="false" customHeight="true" outlineLevel="0" collapsed="false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</row>
    <row r="6" customFormat="false" ht="23.85" hidden="false" customHeight="false" outlineLevel="0" collapsed="false">
      <c r="A6" s="4" t="n">
        <v>1</v>
      </c>
      <c r="B6" s="5" t="n">
        <f aca="false">$B$3+0</f>
        <v>0</v>
      </c>
      <c r="C6" s="4" t="str">
        <f aca="false">CHOOSE(WEEKDAY(B6,2),"Segunda-feira","Terça-feira","Quarta-feira","Quinta-feira","Sexta-feira","Sábado","Domingo")</f>
        <v>Sábado</v>
      </c>
      <c r="D6" s="4" t="s">
        <v>12</v>
      </c>
      <c r="E6" s="6" t="s">
        <v>13</v>
      </c>
      <c r="F6" s="4" t="s">
        <v>14</v>
      </c>
      <c r="G6" s="7" t="s">
        <v>15</v>
      </c>
      <c r="H6" s="7" t="s">
        <v>16</v>
      </c>
      <c r="I6" s="7" t="s">
        <v>17</v>
      </c>
      <c r="J6" s="7" t="s">
        <v>18</v>
      </c>
    </row>
    <row r="7" customFormat="false" ht="23.85" hidden="false" customHeight="false" outlineLevel="0" collapsed="false">
      <c r="A7" s="4" t="n">
        <v>2</v>
      </c>
      <c r="B7" s="5" t="n">
        <f aca="false">$B$3+1</f>
        <v>1</v>
      </c>
      <c r="C7" s="4" t="str">
        <f aca="false">CHOOSE(WEEKDAY(B7,2),"Segunda-feira","Terça-feira","Quarta-feira","Quinta-feira","Sexta-feira","Sábado","Domingo")</f>
        <v>Domingo</v>
      </c>
      <c r="D7" s="4" t="s">
        <v>12</v>
      </c>
      <c r="E7" s="6" t="s">
        <v>19</v>
      </c>
      <c r="F7" s="4" t="s">
        <v>20</v>
      </c>
      <c r="G7" s="7" t="s">
        <v>21</v>
      </c>
      <c r="H7" s="7" t="s">
        <v>22</v>
      </c>
      <c r="I7" s="7" t="s">
        <v>23</v>
      </c>
      <c r="J7" s="7" t="s">
        <v>18</v>
      </c>
    </row>
    <row r="8" customFormat="false" ht="23.85" hidden="false" customHeight="false" outlineLevel="0" collapsed="false">
      <c r="A8" s="4" t="n">
        <v>3</v>
      </c>
      <c r="B8" s="5" t="n">
        <f aca="false">$B$3+2</f>
        <v>2</v>
      </c>
      <c r="C8" s="4" t="str">
        <f aca="false">CHOOSE(WEEKDAY(B8,2),"Segunda-feira","Terça-feira","Quarta-feira","Quinta-feira","Sexta-feira","Sábado","Domingo")</f>
        <v>Segunda-feira</v>
      </c>
      <c r="D8" s="4" t="s">
        <v>12</v>
      </c>
      <c r="E8" s="6" t="s">
        <v>24</v>
      </c>
      <c r="F8" s="4" t="s">
        <v>14</v>
      </c>
      <c r="G8" s="7" t="s">
        <v>25</v>
      </c>
      <c r="H8" s="7" t="s">
        <v>26</v>
      </c>
      <c r="I8" s="7" t="s">
        <v>27</v>
      </c>
      <c r="J8" s="7" t="s">
        <v>18</v>
      </c>
    </row>
    <row r="9" customFormat="false" ht="23.85" hidden="false" customHeight="false" outlineLevel="0" collapsed="false">
      <c r="A9" s="4" t="n">
        <v>4</v>
      </c>
      <c r="B9" s="5" t="n">
        <f aca="false">$B$3+3</f>
        <v>3</v>
      </c>
      <c r="C9" s="4" t="str">
        <f aca="false">CHOOSE(WEEKDAY(B9,2),"Segunda-feira","Terça-feira","Quarta-feira","Quinta-feira","Sexta-feira","Sábado","Domingo")</f>
        <v>Terça-feira</v>
      </c>
      <c r="D9" s="4" t="s">
        <v>12</v>
      </c>
      <c r="E9" s="6" t="s">
        <v>28</v>
      </c>
      <c r="F9" s="4" t="s">
        <v>29</v>
      </c>
      <c r="G9" s="7" t="s">
        <v>30</v>
      </c>
      <c r="H9" s="7" t="s">
        <v>31</v>
      </c>
      <c r="I9" s="7" t="s">
        <v>32</v>
      </c>
      <c r="J9" s="7" t="s">
        <v>18</v>
      </c>
    </row>
    <row r="10" customFormat="false" ht="23.85" hidden="false" customHeight="false" outlineLevel="0" collapsed="false">
      <c r="A10" s="4" t="n">
        <v>5</v>
      </c>
      <c r="B10" s="5" t="n">
        <f aca="false">$B$3+4</f>
        <v>4</v>
      </c>
      <c r="C10" s="4" t="str">
        <f aca="false">CHOOSE(WEEKDAY(B10,2),"Segunda-feira","Terça-feira","Quarta-feira","Quinta-feira","Sexta-feira","Sábado","Domingo")</f>
        <v>Quarta-feira</v>
      </c>
      <c r="D10" s="4" t="s">
        <v>12</v>
      </c>
      <c r="E10" s="6" t="s">
        <v>33</v>
      </c>
      <c r="F10" s="4" t="s">
        <v>29</v>
      </c>
      <c r="G10" s="7" t="s">
        <v>34</v>
      </c>
      <c r="H10" s="7" t="s">
        <v>35</v>
      </c>
      <c r="I10" s="7" t="s">
        <v>36</v>
      </c>
      <c r="J10" s="7" t="s">
        <v>18</v>
      </c>
    </row>
    <row r="11" customFormat="false" ht="23.85" hidden="false" customHeight="false" outlineLevel="0" collapsed="false">
      <c r="A11" s="4" t="n">
        <v>6</v>
      </c>
      <c r="B11" s="5" t="n">
        <f aca="false">$B$3+5</f>
        <v>5</v>
      </c>
      <c r="C11" s="4" t="str">
        <f aca="false">CHOOSE(WEEKDAY(B11,2),"Segunda-feira","Terça-feira","Quarta-feira","Quinta-feira","Sexta-feira","Sábado","Domingo")</f>
        <v>Quinta-feira</v>
      </c>
      <c r="D11" s="4" t="s">
        <v>12</v>
      </c>
      <c r="E11" s="6" t="s">
        <v>37</v>
      </c>
      <c r="F11" s="4" t="s">
        <v>20</v>
      </c>
      <c r="G11" s="7" t="s">
        <v>38</v>
      </c>
      <c r="H11" s="7" t="s">
        <v>39</v>
      </c>
      <c r="I11" s="7" t="s">
        <v>40</v>
      </c>
      <c r="J11" s="7" t="s">
        <v>18</v>
      </c>
    </row>
    <row r="12" customFormat="false" ht="23.85" hidden="false" customHeight="false" outlineLevel="0" collapsed="false">
      <c r="A12" s="4" t="n">
        <v>7</v>
      </c>
      <c r="B12" s="5" t="n">
        <f aca="false">$B$3+6</f>
        <v>6</v>
      </c>
      <c r="C12" s="4" t="str">
        <f aca="false">CHOOSE(WEEKDAY(B12,2),"Segunda-feira","Terça-feira","Quarta-feira","Quinta-feira","Sexta-feira","Sábado","Domingo")</f>
        <v>Sexta-feira</v>
      </c>
      <c r="D12" s="4" t="s">
        <v>12</v>
      </c>
      <c r="E12" s="6" t="s">
        <v>41</v>
      </c>
      <c r="F12" s="4" t="s">
        <v>14</v>
      </c>
      <c r="G12" s="7" t="s">
        <v>42</v>
      </c>
      <c r="H12" s="7" t="s">
        <v>43</v>
      </c>
      <c r="I12" s="7" t="s">
        <v>44</v>
      </c>
      <c r="J12" s="7" t="s">
        <v>18</v>
      </c>
    </row>
    <row r="13" customFormat="false" ht="23.85" hidden="false" customHeight="false" outlineLevel="0" collapsed="false">
      <c r="A13" s="8" t="n">
        <v>8</v>
      </c>
      <c r="B13" s="9" t="n">
        <f aca="false">$B$3+7</f>
        <v>7</v>
      </c>
      <c r="C13" s="8" t="str">
        <f aca="false">CHOOSE(WEEKDAY(B13,2),"Segunda-feira","Terça-feira","Quarta-feira","Quinta-feira","Sexta-feira","Sábado","Domingo")</f>
        <v>Sábado</v>
      </c>
      <c r="D13" s="8" t="s">
        <v>45</v>
      </c>
      <c r="E13" s="10" t="s">
        <v>13</v>
      </c>
      <c r="F13" s="8" t="s">
        <v>14</v>
      </c>
      <c r="G13" s="11" t="s">
        <v>46</v>
      </c>
      <c r="H13" s="11" t="s">
        <v>47</v>
      </c>
      <c r="I13" s="11" t="s">
        <v>48</v>
      </c>
      <c r="J13" s="11" t="s">
        <v>18</v>
      </c>
    </row>
    <row r="14" customFormat="false" ht="23.85" hidden="false" customHeight="false" outlineLevel="0" collapsed="false">
      <c r="A14" s="8" t="n">
        <v>9</v>
      </c>
      <c r="B14" s="9" t="n">
        <f aca="false">$B$3+8</f>
        <v>8</v>
      </c>
      <c r="C14" s="8" t="str">
        <f aca="false">CHOOSE(WEEKDAY(B14,2),"Segunda-feira","Terça-feira","Quarta-feira","Quinta-feira","Sexta-feira","Sábado","Domingo")</f>
        <v>Domingo</v>
      </c>
      <c r="D14" s="8" t="s">
        <v>45</v>
      </c>
      <c r="E14" s="10" t="s">
        <v>19</v>
      </c>
      <c r="F14" s="8" t="s">
        <v>20</v>
      </c>
      <c r="G14" s="11" t="s">
        <v>49</v>
      </c>
      <c r="H14" s="11" t="s">
        <v>50</v>
      </c>
      <c r="I14" s="11" t="s">
        <v>51</v>
      </c>
      <c r="J14" s="11" t="s">
        <v>18</v>
      </c>
    </row>
    <row r="15" customFormat="false" ht="23.85" hidden="false" customHeight="false" outlineLevel="0" collapsed="false">
      <c r="A15" s="8" t="n">
        <v>10</v>
      </c>
      <c r="B15" s="9" t="n">
        <f aca="false">$B$3+9</f>
        <v>9</v>
      </c>
      <c r="C15" s="8" t="str">
        <f aca="false">CHOOSE(WEEKDAY(B15,2),"Segunda-feira","Terça-feira","Quarta-feira","Quinta-feira","Sexta-feira","Sábado","Domingo")</f>
        <v>Segunda-feira</v>
      </c>
      <c r="D15" s="8" t="s">
        <v>45</v>
      </c>
      <c r="E15" s="10" t="s">
        <v>24</v>
      </c>
      <c r="F15" s="8" t="s">
        <v>14</v>
      </c>
      <c r="G15" s="11" t="s">
        <v>52</v>
      </c>
      <c r="H15" s="11" t="s">
        <v>53</v>
      </c>
      <c r="I15" s="11" t="s">
        <v>54</v>
      </c>
      <c r="J15" s="11" t="s">
        <v>18</v>
      </c>
    </row>
    <row r="16" customFormat="false" ht="35.05" hidden="false" customHeight="false" outlineLevel="0" collapsed="false">
      <c r="A16" s="8" t="n">
        <v>11</v>
      </c>
      <c r="B16" s="9" t="n">
        <f aca="false">$B$3+10</f>
        <v>10</v>
      </c>
      <c r="C16" s="8" t="str">
        <f aca="false">CHOOSE(WEEKDAY(B16,2),"Segunda-feira","Terça-feira","Quarta-feira","Quinta-feira","Sexta-feira","Sábado","Domingo")</f>
        <v>Terça-feira</v>
      </c>
      <c r="D16" s="8" t="s">
        <v>45</v>
      </c>
      <c r="E16" s="10" t="s">
        <v>28</v>
      </c>
      <c r="F16" s="8" t="s">
        <v>29</v>
      </c>
      <c r="G16" s="11" t="s">
        <v>55</v>
      </c>
      <c r="H16" s="11" t="s">
        <v>56</v>
      </c>
      <c r="I16" s="11" t="s">
        <v>57</v>
      </c>
      <c r="J16" s="11" t="s">
        <v>18</v>
      </c>
    </row>
    <row r="17" customFormat="false" ht="23.85" hidden="false" customHeight="false" outlineLevel="0" collapsed="false">
      <c r="A17" s="8" t="n">
        <v>12</v>
      </c>
      <c r="B17" s="9" t="n">
        <f aca="false">$B$3+11</f>
        <v>11</v>
      </c>
      <c r="C17" s="8" t="str">
        <f aca="false">CHOOSE(WEEKDAY(B17,2),"Segunda-feira","Terça-feira","Quarta-feira","Quinta-feira","Sexta-feira","Sábado","Domingo")</f>
        <v>Quarta-feira</v>
      </c>
      <c r="D17" s="8" t="s">
        <v>45</v>
      </c>
      <c r="E17" s="10" t="s">
        <v>33</v>
      </c>
      <c r="F17" s="8" t="s">
        <v>14</v>
      </c>
      <c r="G17" s="11" t="s">
        <v>58</v>
      </c>
      <c r="H17" s="11" t="s">
        <v>59</v>
      </c>
      <c r="I17" s="11" t="s">
        <v>60</v>
      </c>
      <c r="J17" s="11" t="s">
        <v>18</v>
      </c>
    </row>
    <row r="18" customFormat="false" ht="23.85" hidden="false" customHeight="false" outlineLevel="0" collapsed="false">
      <c r="A18" s="8" t="n">
        <v>13</v>
      </c>
      <c r="B18" s="9" t="n">
        <f aca="false">$B$3+12</f>
        <v>12</v>
      </c>
      <c r="C18" s="8" t="str">
        <f aca="false">CHOOSE(WEEKDAY(B18,2),"Segunda-feira","Terça-feira","Quarta-feira","Quinta-feira","Sexta-feira","Sábado","Domingo")</f>
        <v>Quinta-feira</v>
      </c>
      <c r="D18" s="8" t="s">
        <v>45</v>
      </c>
      <c r="E18" s="10" t="s">
        <v>37</v>
      </c>
      <c r="F18" s="8" t="s">
        <v>20</v>
      </c>
      <c r="G18" s="11" t="s">
        <v>61</v>
      </c>
      <c r="H18" s="11" t="s">
        <v>62</v>
      </c>
      <c r="I18" s="11" t="s">
        <v>63</v>
      </c>
      <c r="J18" s="11" t="s">
        <v>18</v>
      </c>
    </row>
    <row r="19" customFormat="false" ht="23.85" hidden="false" customHeight="false" outlineLevel="0" collapsed="false">
      <c r="A19" s="8" t="n">
        <v>14</v>
      </c>
      <c r="B19" s="9" t="n">
        <f aca="false">$B$3+13</f>
        <v>13</v>
      </c>
      <c r="C19" s="8" t="str">
        <f aca="false">CHOOSE(WEEKDAY(B19,2),"Segunda-feira","Terça-feira","Quarta-feira","Quinta-feira","Sexta-feira","Sábado","Domingo")</f>
        <v>Sexta-feira</v>
      </c>
      <c r="D19" s="8" t="s">
        <v>45</v>
      </c>
      <c r="E19" s="10" t="s">
        <v>41</v>
      </c>
      <c r="F19" s="8" t="s">
        <v>14</v>
      </c>
      <c r="G19" s="11" t="s">
        <v>64</v>
      </c>
      <c r="H19" s="11" t="s">
        <v>65</v>
      </c>
      <c r="I19" s="11" t="s">
        <v>44</v>
      </c>
      <c r="J19" s="11" t="s">
        <v>18</v>
      </c>
    </row>
    <row r="20" customFormat="false" ht="23.85" hidden="false" customHeight="false" outlineLevel="0" collapsed="false">
      <c r="A20" s="4" t="n">
        <v>15</v>
      </c>
      <c r="B20" s="5" t="n">
        <f aca="false">$B$3+14</f>
        <v>14</v>
      </c>
      <c r="C20" s="4" t="str">
        <f aca="false">CHOOSE(WEEKDAY(B20,2),"Segunda-feira","Terça-feira","Quarta-feira","Quinta-feira","Sexta-feira","Sábado","Domingo")</f>
        <v>Sábado</v>
      </c>
      <c r="D20" s="4" t="s">
        <v>66</v>
      </c>
      <c r="E20" s="6" t="s">
        <v>13</v>
      </c>
      <c r="F20" s="4" t="s">
        <v>14</v>
      </c>
      <c r="G20" s="7" t="s">
        <v>67</v>
      </c>
      <c r="H20" s="7" t="s">
        <v>68</v>
      </c>
      <c r="I20" s="7" t="s">
        <v>69</v>
      </c>
      <c r="J20" s="7" t="s">
        <v>18</v>
      </c>
    </row>
    <row r="21" customFormat="false" ht="23.85" hidden="false" customHeight="false" outlineLevel="0" collapsed="false">
      <c r="A21" s="4" t="n">
        <v>16</v>
      </c>
      <c r="B21" s="5" t="n">
        <f aca="false">$B$3+15</f>
        <v>15</v>
      </c>
      <c r="C21" s="4" t="str">
        <f aca="false">CHOOSE(WEEKDAY(B21,2),"Segunda-feira","Terça-feira","Quarta-feira","Quinta-feira","Sexta-feira","Sábado","Domingo")</f>
        <v>Domingo</v>
      </c>
      <c r="D21" s="4" t="s">
        <v>66</v>
      </c>
      <c r="E21" s="6" t="s">
        <v>19</v>
      </c>
      <c r="F21" s="4" t="s">
        <v>20</v>
      </c>
      <c r="G21" s="7" t="s">
        <v>70</v>
      </c>
      <c r="H21" s="7" t="s">
        <v>71</v>
      </c>
      <c r="I21" s="7" t="s">
        <v>72</v>
      </c>
      <c r="J21" s="7" t="s">
        <v>18</v>
      </c>
    </row>
    <row r="22" customFormat="false" ht="23.85" hidden="false" customHeight="false" outlineLevel="0" collapsed="false">
      <c r="A22" s="4" t="n">
        <v>17</v>
      </c>
      <c r="B22" s="5" t="n">
        <f aca="false">$B$3+16</f>
        <v>16</v>
      </c>
      <c r="C22" s="4" t="str">
        <f aca="false">CHOOSE(WEEKDAY(B22,2),"Segunda-feira","Terça-feira","Quarta-feira","Quinta-feira","Sexta-feira","Sábado","Domingo")</f>
        <v>Segunda-feira</v>
      </c>
      <c r="D22" s="4" t="s">
        <v>66</v>
      </c>
      <c r="E22" s="6" t="s">
        <v>24</v>
      </c>
      <c r="F22" s="4" t="s">
        <v>14</v>
      </c>
      <c r="G22" s="7" t="s">
        <v>73</v>
      </c>
      <c r="H22" s="7" t="s">
        <v>74</v>
      </c>
      <c r="I22" s="7" t="s">
        <v>75</v>
      </c>
      <c r="J22" s="7" t="s">
        <v>18</v>
      </c>
    </row>
    <row r="23" customFormat="false" ht="23.85" hidden="false" customHeight="false" outlineLevel="0" collapsed="false">
      <c r="A23" s="4" t="n">
        <v>18</v>
      </c>
      <c r="B23" s="5" t="n">
        <f aca="false">$B$3+17</f>
        <v>17</v>
      </c>
      <c r="C23" s="4" t="str">
        <f aca="false">CHOOSE(WEEKDAY(B23,2),"Segunda-feira","Terça-feira","Quarta-feira","Quinta-feira","Sexta-feira","Sábado","Domingo")</f>
        <v>Terça-feira</v>
      </c>
      <c r="D23" s="4" t="s">
        <v>66</v>
      </c>
      <c r="E23" s="6" t="s">
        <v>28</v>
      </c>
      <c r="F23" s="4" t="s">
        <v>29</v>
      </c>
      <c r="G23" s="7" t="s">
        <v>76</v>
      </c>
      <c r="H23" s="7" t="s">
        <v>77</v>
      </c>
      <c r="I23" s="7" t="s">
        <v>78</v>
      </c>
      <c r="J23" s="7" t="s">
        <v>18</v>
      </c>
    </row>
    <row r="24" customFormat="false" ht="23.85" hidden="false" customHeight="false" outlineLevel="0" collapsed="false">
      <c r="A24" s="4" t="n">
        <v>19</v>
      </c>
      <c r="B24" s="5" t="n">
        <f aca="false">$B$3+18</f>
        <v>18</v>
      </c>
      <c r="C24" s="4" t="str">
        <f aca="false">CHOOSE(WEEKDAY(B24,2),"Segunda-feira","Terça-feira","Quarta-feira","Quinta-feira","Sexta-feira","Sábado","Domingo")</f>
        <v>Quarta-feira</v>
      </c>
      <c r="D24" s="4" t="s">
        <v>66</v>
      </c>
      <c r="E24" s="6" t="s">
        <v>33</v>
      </c>
      <c r="F24" s="4" t="s">
        <v>29</v>
      </c>
      <c r="G24" s="7" t="s">
        <v>79</v>
      </c>
      <c r="H24" s="7" t="s">
        <v>80</v>
      </c>
      <c r="I24" s="7" t="s">
        <v>81</v>
      </c>
      <c r="J24" s="7" t="s">
        <v>18</v>
      </c>
    </row>
    <row r="25" customFormat="false" ht="23.85" hidden="false" customHeight="false" outlineLevel="0" collapsed="false">
      <c r="A25" s="4" t="n">
        <v>20</v>
      </c>
      <c r="B25" s="5" t="n">
        <f aca="false">$B$3+19</f>
        <v>19</v>
      </c>
      <c r="C25" s="4" t="str">
        <f aca="false">CHOOSE(WEEKDAY(B25,2),"Segunda-feira","Terça-feira","Quarta-feira","Quinta-feira","Sexta-feira","Sábado","Domingo")</f>
        <v>Quinta-feira</v>
      </c>
      <c r="D25" s="4" t="s">
        <v>66</v>
      </c>
      <c r="E25" s="6" t="s">
        <v>37</v>
      </c>
      <c r="F25" s="4" t="s">
        <v>20</v>
      </c>
      <c r="G25" s="7" t="s">
        <v>82</v>
      </c>
      <c r="H25" s="7" t="s">
        <v>83</v>
      </c>
      <c r="I25" s="7" t="s">
        <v>84</v>
      </c>
      <c r="J25" s="7" t="s">
        <v>18</v>
      </c>
    </row>
    <row r="26" customFormat="false" ht="23.85" hidden="false" customHeight="false" outlineLevel="0" collapsed="false">
      <c r="A26" s="4" t="n">
        <v>21</v>
      </c>
      <c r="B26" s="5" t="n">
        <f aca="false">$B$3+20</f>
        <v>20</v>
      </c>
      <c r="C26" s="4" t="str">
        <f aca="false">CHOOSE(WEEKDAY(B26,2),"Segunda-feira","Terça-feira","Quarta-feira","Quinta-feira","Sexta-feira","Sábado","Domingo")</f>
        <v>Sexta-feira</v>
      </c>
      <c r="D26" s="4" t="s">
        <v>66</v>
      </c>
      <c r="E26" s="6" t="s">
        <v>41</v>
      </c>
      <c r="F26" s="4" t="s">
        <v>14</v>
      </c>
      <c r="G26" s="7" t="s">
        <v>85</v>
      </c>
      <c r="H26" s="7" t="s">
        <v>43</v>
      </c>
      <c r="I26" s="7" t="s">
        <v>60</v>
      </c>
      <c r="J26" s="7" t="s">
        <v>18</v>
      </c>
    </row>
    <row r="27" customFormat="false" ht="23.85" hidden="false" customHeight="false" outlineLevel="0" collapsed="false">
      <c r="A27" s="8" t="n">
        <v>22</v>
      </c>
      <c r="B27" s="9" t="n">
        <f aca="false">$B$3+21</f>
        <v>21</v>
      </c>
      <c r="C27" s="8" t="str">
        <f aca="false">CHOOSE(WEEKDAY(B27,2),"Segunda-feira","Terça-feira","Quarta-feira","Quinta-feira","Sexta-feira","Sábado","Domingo")</f>
        <v>Sábado</v>
      </c>
      <c r="D27" s="8" t="s">
        <v>86</v>
      </c>
      <c r="E27" s="10" t="s">
        <v>13</v>
      </c>
      <c r="F27" s="8" t="s">
        <v>14</v>
      </c>
      <c r="G27" s="11" t="s">
        <v>87</v>
      </c>
      <c r="H27" s="11" t="s">
        <v>88</v>
      </c>
      <c r="I27" s="11" t="s">
        <v>89</v>
      </c>
      <c r="J27" s="11" t="s">
        <v>18</v>
      </c>
    </row>
    <row r="28" customFormat="false" ht="23.85" hidden="false" customHeight="false" outlineLevel="0" collapsed="false">
      <c r="A28" s="8" t="n">
        <v>23</v>
      </c>
      <c r="B28" s="9" t="n">
        <f aca="false">$B$3+22</f>
        <v>22</v>
      </c>
      <c r="C28" s="8" t="str">
        <f aca="false">CHOOSE(WEEKDAY(B28,2),"Segunda-feira","Terça-feira","Quarta-feira","Quinta-feira","Sexta-feira","Sábado","Domingo")</f>
        <v>Domingo</v>
      </c>
      <c r="D28" s="8" t="s">
        <v>86</v>
      </c>
      <c r="E28" s="10" t="s">
        <v>19</v>
      </c>
      <c r="F28" s="8" t="s">
        <v>20</v>
      </c>
      <c r="G28" s="11" t="s">
        <v>90</v>
      </c>
      <c r="H28" s="11" t="s">
        <v>91</v>
      </c>
      <c r="I28" s="11" t="s">
        <v>51</v>
      </c>
      <c r="J28" s="11" t="s">
        <v>18</v>
      </c>
    </row>
    <row r="29" customFormat="false" ht="23.85" hidden="false" customHeight="false" outlineLevel="0" collapsed="false">
      <c r="A29" s="8" t="n">
        <v>24</v>
      </c>
      <c r="B29" s="9" t="n">
        <f aca="false">$B$3+23</f>
        <v>23</v>
      </c>
      <c r="C29" s="8" t="str">
        <f aca="false">CHOOSE(WEEKDAY(B29,2),"Segunda-feira","Terça-feira","Quarta-feira","Quinta-feira","Sexta-feira","Sábado","Domingo")</f>
        <v>Segunda-feira</v>
      </c>
      <c r="D29" s="8" t="s">
        <v>86</v>
      </c>
      <c r="E29" s="10" t="s">
        <v>24</v>
      </c>
      <c r="F29" s="8" t="s">
        <v>14</v>
      </c>
      <c r="G29" s="11" t="s">
        <v>92</v>
      </c>
      <c r="H29" s="11" t="s">
        <v>93</v>
      </c>
      <c r="I29" s="11" t="s">
        <v>94</v>
      </c>
      <c r="J29" s="11" t="s">
        <v>18</v>
      </c>
    </row>
    <row r="30" customFormat="false" ht="23.85" hidden="false" customHeight="false" outlineLevel="0" collapsed="false">
      <c r="A30" s="8" t="n">
        <v>25</v>
      </c>
      <c r="B30" s="9" t="n">
        <f aca="false">$B$3+24</f>
        <v>24</v>
      </c>
      <c r="C30" s="8" t="str">
        <f aca="false">CHOOSE(WEEKDAY(B30,2),"Segunda-feira","Terça-feira","Quarta-feira","Quinta-feira","Sexta-feira","Sábado","Domingo")</f>
        <v>Terça-feira</v>
      </c>
      <c r="D30" s="8" t="s">
        <v>86</v>
      </c>
      <c r="E30" s="10" t="s">
        <v>28</v>
      </c>
      <c r="F30" s="8" t="s">
        <v>29</v>
      </c>
      <c r="G30" s="11" t="s">
        <v>95</v>
      </c>
      <c r="H30" s="11" t="s">
        <v>96</v>
      </c>
      <c r="I30" s="11" t="s">
        <v>97</v>
      </c>
      <c r="J30" s="11" t="s">
        <v>18</v>
      </c>
    </row>
    <row r="31" customFormat="false" ht="23.85" hidden="false" customHeight="false" outlineLevel="0" collapsed="false">
      <c r="A31" s="8" t="n">
        <v>26</v>
      </c>
      <c r="B31" s="9" t="n">
        <f aca="false">$B$3+25</f>
        <v>25</v>
      </c>
      <c r="C31" s="8" t="str">
        <f aca="false">CHOOSE(WEEKDAY(B31,2),"Segunda-feira","Terça-feira","Quarta-feira","Quinta-feira","Sexta-feira","Sábado","Domingo")</f>
        <v>Quarta-feira</v>
      </c>
      <c r="D31" s="8" t="s">
        <v>86</v>
      </c>
      <c r="E31" s="10" t="s">
        <v>33</v>
      </c>
      <c r="F31" s="8" t="s">
        <v>14</v>
      </c>
      <c r="G31" s="11" t="s">
        <v>98</v>
      </c>
      <c r="H31" s="11" t="s">
        <v>99</v>
      </c>
      <c r="I31" s="11" t="s">
        <v>100</v>
      </c>
      <c r="J31" s="11" t="s">
        <v>18</v>
      </c>
    </row>
    <row r="32" customFormat="false" ht="23.85" hidden="false" customHeight="false" outlineLevel="0" collapsed="false">
      <c r="A32" s="8" t="n">
        <v>27</v>
      </c>
      <c r="B32" s="9" t="n">
        <f aca="false">$B$3+26</f>
        <v>26</v>
      </c>
      <c r="C32" s="8" t="str">
        <f aca="false">CHOOSE(WEEKDAY(B32,2),"Segunda-feira","Terça-feira","Quarta-feira","Quinta-feira","Sexta-feira","Sábado","Domingo")</f>
        <v>Quinta-feira</v>
      </c>
      <c r="D32" s="8" t="s">
        <v>86</v>
      </c>
      <c r="E32" s="10" t="s">
        <v>37</v>
      </c>
      <c r="F32" s="8" t="s">
        <v>20</v>
      </c>
      <c r="G32" s="11" t="s">
        <v>101</v>
      </c>
      <c r="H32" s="11" t="s">
        <v>102</v>
      </c>
      <c r="I32" s="11" t="s">
        <v>103</v>
      </c>
      <c r="J32" s="11" t="s">
        <v>18</v>
      </c>
    </row>
    <row r="33" customFormat="false" ht="23.85" hidden="false" customHeight="false" outlineLevel="0" collapsed="false">
      <c r="A33" s="8" t="n">
        <v>28</v>
      </c>
      <c r="B33" s="9" t="n">
        <f aca="false">$B$3+27</f>
        <v>27</v>
      </c>
      <c r="C33" s="8" t="str">
        <f aca="false">CHOOSE(WEEKDAY(B33,2),"Segunda-feira","Terça-feira","Quarta-feira","Quinta-feira","Sexta-feira","Sábado","Domingo")</f>
        <v>Sexta-feira</v>
      </c>
      <c r="D33" s="8" t="s">
        <v>86</v>
      </c>
      <c r="E33" s="10" t="s">
        <v>41</v>
      </c>
      <c r="F33" s="8" t="s">
        <v>14</v>
      </c>
      <c r="G33" s="11" t="s">
        <v>104</v>
      </c>
      <c r="H33" s="11" t="s">
        <v>105</v>
      </c>
      <c r="I33" s="11" t="s">
        <v>106</v>
      </c>
      <c r="J33" s="11" t="s">
        <v>18</v>
      </c>
    </row>
  </sheetData>
  <mergeCells count="2">
    <mergeCell ref="A1:K1"/>
    <mergeCell ref="A3:B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2026-07-03T12:44:13Z</dcterms:created>
  <dc:creator>openpyxl</dc:creator>
  <dc:description/>
  <dc:language>en-US</dc:language>
  <cp:lastModifiedBy/>
  <dcterms:modified xsi:type="dcterms:W3CDTF">2026-07-03T12:44:13Z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